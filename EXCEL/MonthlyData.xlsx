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ith/Documents/Projects /superstore-forecast/data/"/>
    </mc:Choice>
  </mc:AlternateContent>
  <xr:revisionPtr revIDLastSave="0" documentId="13_ncr:1_{D0488F4F-53C9-FB4C-88C6-5B7660A60085}" xr6:coauthVersionLast="47" xr6:coauthVersionMax="47" xr10:uidLastSave="{00000000-0000-0000-0000-000000000000}"/>
  <bookViews>
    <workbookView xWindow="1860" yWindow="1480" windowWidth="28040" windowHeight="17180" xr2:uid="{7FF003C8-4680-2D47-8E07-C88B7D8EA6BE}"/>
  </bookViews>
  <sheets>
    <sheet name="monthly_sales_by_category" sheetId="3" r:id="rId1"/>
    <sheet name="Assumptions" sheetId="1" r:id="rId2"/>
    <sheet name="Forecast" sheetId="4" r:id="rId3"/>
  </sheets>
  <definedNames>
    <definedName name="ExternalData_1" localSheetId="0" hidden="1">monthly_sales_by_category!$A$1:$E$73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4" l="1"/>
  <c r="B3" i="4"/>
  <c r="B4" i="4"/>
  <c r="C5" i="1"/>
  <c r="C2" i="1"/>
  <c r="I10" i="3"/>
  <c r="I9" i="3"/>
  <c r="I8" i="3"/>
  <c r="I7" i="3"/>
  <c r="I6" i="3"/>
  <c r="I5" i="3"/>
  <c r="I4" i="3"/>
  <c r="H10" i="3"/>
  <c r="H9" i="3"/>
  <c r="H8" i="3"/>
  <c r="H7" i="3"/>
  <c r="H6" i="3"/>
  <c r="H5" i="3"/>
  <c r="H4" i="3"/>
  <c r="H3" i="3"/>
  <c r="M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98310B-EDE1-C641-90BE-B37F8EEBDF8D}" keepAlive="1" name="Query - monthly_sales_by_category" description="Connection to the 'monthly_sales_by_category' query in the workbook." type="5" refreshedVersion="8" background="1" saveData="1">
    <dbPr connection="Provider=Microsoft.Mashup.OleDb.1;Data Source=$Workbook$;Location=monthly_sales_by_category;Extended Properties=&quot;&quot;" command="SELECT * FROM [monthly_sales_by_category]"/>
  </connection>
  <connection id="2" xr16:uid="{E52E08F9-BD09-774D-A487-7D33A4095B1A}" keepAlive="1" name="Query - superstore" description="Connection to the 'superstore' query in the workbook." type="5" refreshedVersion="0" background="1">
    <dbPr connection="Provider=Microsoft.Mashup.OleDb.1;Data Source=$Workbook$;Location=superstore;Extended Properties=&quot;&quot;" command="SELECT * FROM [superstore]"/>
  </connection>
</connections>
</file>

<file path=xl/sharedStrings.xml><?xml version="1.0" encoding="utf-8"?>
<sst xmlns="http://schemas.openxmlformats.org/spreadsheetml/2006/main" count="98" uniqueCount="29">
  <si>
    <t>Furniture</t>
  </si>
  <si>
    <t>Technology</t>
  </si>
  <si>
    <t>Office Supplies</t>
  </si>
  <si>
    <t>month</t>
  </si>
  <si>
    <t>category</t>
  </si>
  <si>
    <t>total_sales</t>
  </si>
  <si>
    <t>total_profit</t>
  </si>
  <si>
    <t>order_count</t>
  </si>
  <si>
    <t>quarterly total-revenue summary</t>
  </si>
  <si>
    <t>Base quarterly growth rate</t>
  </si>
  <si>
    <t>Best-case adjustment</t>
  </si>
  <si>
    <t>Worst-case adjustment</t>
  </si>
  <si>
    <t>Last known quarter revenue</t>
  </si>
  <si>
    <t xml:space="preserve">Total revenue </t>
  </si>
  <si>
    <r>
      <rPr>
        <b/>
        <sz val="12"/>
        <color theme="1"/>
        <rFont val="Aptos Narrow"/>
        <scheme val="minor"/>
      </rPr>
      <t>Quarter</t>
    </r>
    <r>
      <rPr>
        <sz val="12"/>
        <color theme="1"/>
        <rFont val="Aptos Narrow"/>
        <scheme val="minor"/>
      </rPr>
      <t xml:space="preserve"> </t>
    </r>
  </si>
  <si>
    <t xml:space="preserve">Q1 2019 </t>
  </si>
  <si>
    <t>Q2 2019</t>
  </si>
  <si>
    <t>Q3 2019</t>
  </si>
  <si>
    <t>Q4 2019</t>
  </si>
  <si>
    <t>Q1 2020</t>
  </si>
  <si>
    <t>Q2 2020</t>
  </si>
  <si>
    <t>Q3 2020</t>
  </si>
  <si>
    <t>Q4 2020</t>
  </si>
  <si>
    <t>QoQ Growth %</t>
  </si>
  <si>
    <t>Scenario</t>
  </si>
  <si>
    <t>Base Case</t>
  </si>
  <si>
    <t>Best Case</t>
  </si>
  <si>
    <t>Worst Case</t>
  </si>
  <si>
    <t>Projected Q1 2021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</si>
</sst>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0"/>
      <color theme="1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3" fillId="3" borderId="1" xfId="0" applyFont="1" applyFill="1" applyBorder="1"/>
    <xf numFmtId="0" fontId="2" fillId="3" borderId="1" xfId="0" applyFont="1" applyFill="1" applyBorder="1"/>
    <xf numFmtId="0" fontId="5" fillId="3" borderId="1" xfId="0" applyFont="1" applyFill="1" applyBorder="1"/>
    <xf numFmtId="0" fontId="0" fillId="4" borderId="1" xfId="0" applyFill="1" applyBorder="1"/>
    <xf numFmtId="0" fontId="2" fillId="5" borderId="1" xfId="0" applyFont="1" applyFill="1" applyBorder="1"/>
    <xf numFmtId="0" fontId="2" fillId="6" borderId="1" xfId="0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</cellXfs>
  <cellStyles count="1">
    <cellStyle name="Normal" xfId="0" builtinId="0"/>
  </cellStyles>
  <dxfs count="2"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1DEC30-F1BD-A54A-A089-BF66B4EBE8A0}" autoFormatId="16" applyNumberFormats="0" applyBorderFormats="0" applyFontFormats="0" applyPatternFormats="0" applyAlignmentFormats="0" applyWidthHeightFormats="0">
  <queryTableRefresh nextId="6">
    <queryTableFields count="5">
      <queryTableField id="1" name="month" tableColumnId="1"/>
      <queryTableField id="2" name="category" tableColumnId="2"/>
      <queryTableField id="3" name="total_sales" tableColumnId="3"/>
      <queryTableField id="4" name="total_profit" tableColumnId="4"/>
      <queryTableField id="5" name="order_c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83B960-5C6B-DE4B-A4A9-6116E57D116B}" name="monthly_sales_by_category" displayName="monthly_sales_by_category" ref="A1:E73" tableType="queryTable" totalsRowShown="0">
  <autoFilter ref="A1:E73" xr:uid="{7A83B960-5C6B-DE4B-A4A9-6116E57D116B}"/>
  <tableColumns count="5">
    <tableColumn id="1" xr3:uid="{CB6C4817-E6D5-6449-943F-CBDD3C7C2D2E}" uniqueName="1" name="month" queryTableFieldId="1" dataDxfId="1"/>
    <tableColumn id="2" xr3:uid="{B41A2DBE-5219-434D-BA5B-DCCF6AF707D2}" uniqueName="2" name="category" queryTableFieldId="2" dataDxfId="0"/>
    <tableColumn id="3" xr3:uid="{4821E431-6B11-8643-98EF-8751D88DBBC8}" uniqueName="3" name="total_sales" queryTableFieldId="3"/>
    <tableColumn id="4" xr3:uid="{AA7A199C-D56E-F545-A707-C3C8ADD20FD3}" uniqueName="4" name="total_profit" queryTableFieldId="4"/>
    <tableColumn id="5" xr3:uid="{F0243827-089A-8A46-B817-FDEE76975586}" uniqueName="5" name="order_coun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5426-E8A2-A843-A121-204528CC41D6}">
  <dimension ref="A1:M73"/>
  <sheetViews>
    <sheetView tabSelected="1" workbookViewId="0">
      <selection activeCell="I17" sqref="I17"/>
    </sheetView>
  </sheetViews>
  <sheetFormatPr baseColWidth="10" defaultRowHeight="16" x14ac:dyDescent="0.2"/>
  <cols>
    <col min="1" max="1" width="9.5" bestFit="1" customWidth="1"/>
    <col min="2" max="2" width="13.1640625" bestFit="1" customWidth="1"/>
    <col min="3" max="4" width="12.83203125" bestFit="1" customWidth="1"/>
    <col min="5" max="5" width="13.5" bestFit="1" customWidth="1"/>
    <col min="8" max="8" width="12.33203125" bestFit="1" customWidth="1"/>
    <col min="9" max="9" width="12.5" bestFit="1" customWidth="1"/>
    <col min="12" max="12" width="28" bestFit="1" customWidth="1"/>
  </cols>
  <sheetData>
    <row r="1" spans="1:13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H1" s="3"/>
    </row>
    <row r="2" spans="1:13" ht="17" x14ac:dyDescent="0.25">
      <c r="A2" s="2">
        <v>43466</v>
      </c>
      <c r="B2" s="1" t="s">
        <v>0</v>
      </c>
      <c r="C2">
        <v>7696.683</v>
      </c>
      <c r="D2">
        <v>332.22750000000019</v>
      </c>
      <c r="E2">
        <v>18</v>
      </c>
      <c r="G2" s="6" t="s">
        <v>14</v>
      </c>
      <c r="H2" s="7" t="s">
        <v>13</v>
      </c>
      <c r="I2" s="8" t="s">
        <v>23</v>
      </c>
      <c r="L2" s="4" t="s">
        <v>8</v>
      </c>
      <c r="M2" s="4">
        <f>SUMIFS(C:C, A:A, "&gt;="&amp;DATE(2019,1,1), A:A, "&lt;"&amp;DATE(2019,4,1))</f>
        <v>90311.120999999999</v>
      </c>
    </row>
    <row r="3" spans="1:13" x14ac:dyDescent="0.2">
      <c r="A3" s="2">
        <v>43466</v>
      </c>
      <c r="B3" s="1" t="s">
        <v>2</v>
      </c>
      <c r="C3">
        <v>5299.6819999999998</v>
      </c>
      <c r="D3">
        <v>1604.4712000000002</v>
      </c>
      <c r="E3">
        <v>32</v>
      </c>
      <c r="G3" s="5" t="s">
        <v>15</v>
      </c>
      <c r="H3" s="5">
        <f>SUMIFS(C:C, A:A, "&gt;="&amp;DATE(2019,1,1), A:A, "&lt;"&amp;DATE(2019,4,1))</f>
        <v>90311.120999999999</v>
      </c>
      <c r="I3" s="9"/>
    </row>
    <row r="4" spans="1:13" x14ac:dyDescent="0.2">
      <c r="A4" s="2">
        <v>43466</v>
      </c>
      <c r="B4" s="1" t="s">
        <v>1</v>
      </c>
      <c r="C4">
        <v>5620.0659999999998</v>
      </c>
      <c r="D4">
        <v>916.39140000000009</v>
      </c>
      <c r="E4">
        <v>16</v>
      </c>
      <c r="G4" s="5" t="s">
        <v>16</v>
      </c>
      <c r="H4" s="5">
        <f>SUMIFS(C:C, A:A, "&gt;="&amp;DATE(2019,4,1), A:A, "&lt;"&amp;DATE(2019,7,1))</f>
        <v>130082.30099999999</v>
      </c>
      <c r="I4" s="9">
        <f>(H4-H3)/H3</f>
        <v>0.44037965158244458</v>
      </c>
    </row>
    <row r="5" spans="1:13" x14ac:dyDescent="0.2">
      <c r="A5" s="2">
        <v>43497</v>
      </c>
      <c r="B5" s="1" t="s">
        <v>0</v>
      </c>
      <c r="C5">
        <v>3925.5510000000004</v>
      </c>
      <c r="D5">
        <v>377.03520000000009</v>
      </c>
      <c r="E5">
        <v>17</v>
      </c>
      <c r="G5" s="5" t="s">
        <v>17</v>
      </c>
      <c r="H5" s="5">
        <f>SUMIFS(C:C, A:A, "&gt;="&amp;DATE(2019,7,1), A:A, "&lt;"&amp;DATE(2019,10,1))</f>
        <v>143787.3622</v>
      </c>
      <c r="I5" s="9">
        <f>(H5-H4)/H4</f>
        <v>0.10535684789278145</v>
      </c>
    </row>
    <row r="6" spans="1:13" x14ac:dyDescent="0.2">
      <c r="A6" s="2">
        <v>43497</v>
      </c>
      <c r="B6" s="1" t="s">
        <v>2</v>
      </c>
      <c r="C6">
        <v>7794.3499999999985</v>
      </c>
      <c r="D6">
        <v>1330.0008999999993</v>
      </c>
      <c r="E6">
        <v>31</v>
      </c>
      <c r="G6" s="5" t="s">
        <v>18</v>
      </c>
      <c r="H6" s="5">
        <f>SUMIFS(C:C, A:A, "&gt;="&amp;DATE(2019,10,1), A:A, "&lt;"&amp;DATE(2020,1,1))</f>
        <v>200498.75379999995</v>
      </c>
      <c r="I6" s="9">
        <f>(H6-H5)/H5</f>
        <v>0.39441151664718377</v>
      </c>
    </row>
    <row r="7" spans="1:13" x14ac:dyDescent="0.2">
      <c r="A7" s="2">
        <v>43497</v>
      </c>
      <c r="B7" s="1" t="s">
        <v>1</v>
      </c>
      <c r="C7">
        <v>8258.9139999999989</v>
      </c>
      <c r="D7">
        <v>3297.5434</v>
      </c>
      <c r="E7">
        <v>13</v>
      </c>
      <c r="G7" s="5" t="s">
        <v>19</v>
      </c>
      <c r="H7" s="5">
        <f>SUMIFS(C:C, A:A, "&gt;="&amp;DATE(2020,1,1), A:A, "&lt;"&amp;DATE(2020,4,1))</f>
        <v>171060.8602</v>
      </c>
      <c r="I7" s="9">
        <f>(H7-H6)/H6</f>
        <v>-0.14682332454477309</v>
      </c>
    </row>
    <row r="8" spans="1:13" x14ac:dyDescent="0.2">
      <c r="A8" s="2">
        <v>43525</v>
      </c>
      <c r="B8" s="1" t="s">
        <v>0</v>
      </c>
      <c r="C8">
        <v>12801.091999999999</v>
      </c>
      <c r="D8">
        <v>-555.26800000000003</v>
      </c>
      <c r="E8">
        <v>38</v>
      </c>
      <c r="G8" s="5" t="s">
        <v>20</v>
      </c>
      <c r="H8" s="5">
        <f>SUMIFS(C:C, A:A, "&gt;="&amp;DATE(2020,4,1), A:A, "&lt;"&amp;DATE(2020,7,1))</f>
        <v>186800.37199999997</v>
      </c>
      <c r="I8" s="9">
        <f>(H8-H7)/H7</f>
        <v>9.2011181176089862E-2</v>
      </c>
    </row>
    <row r="9" spans="1:13" x14ac:dyDescent="0.2">
      <c r="A9" s="2">
        <v>43525</v>
      </c>
      <c r="B9" s="1" t="s">
        <v>2</v>
      </c>
      <c r="C9">
        <v>17346.930999999997</v>
      </c>
      <c r="D9">
        <v>1061.4055999999998</v>
      </c>
      <c r="E9">
        <v>57</v>
      </c>
      <c r="G9" s="5" t="s">
        <v>21</v>
      </c>
      <c r="H9" s="5">
        <f>SUMIFS(C:C, A:A, "&gt;="&amp;DATE(2020,7,1), A:A, "&lt;"&amp;DATE(2020,10,1))</f>
        <v>257219.95600000003</v>
      </c>
      <c r="I9" s="9">
        <f>(H9-H8)/H8</f>
        <v>0.37697775034409498</v>
      </c>
    </row>
    <row r="10" spans="1:13" x14ac:dyDescent="0.2">
      <c r="A10" s="2">
        <v>43525</v>
      </c>
      <c r="B10" s="1" t="s">
        <v>1</v>
      </c>
      <c r="C10">
        <v>21567.851999999995</v>
      </c>
      <c r="D10">
        <v>3105.8303999999998</v>
      </c>
      <c r="E10">
        <v>31</v>
      </c>
      <c r="G10" s="5" t="s">
        <v>22</v>
      </c>
      <c r="H10" s="5">
        <f>SUMIFS(C:C, A:A, "&gt;="&amp;DATE(2020,10,1), A:A, "&lt;"&amp;DATE(2021,1,1))</f>
        <v>386043.59699999995</v>
      </c>
      <c r="I10" s="9">
        <f>(H10-H9)/H9</f>
        <v>0.50083066261001885</v>
      </c>
    </row>
    <row r="11" spans="1:13" x14ac:dyDescent="0.2">
      <c r="A11" s="2">
        <v>43556</v>
      </c>
      <c r="B11" s="1" t="s">
        <v>0</v>
      </c>
      <c r="C11">
        <v>13212.089999999998</v>
      </c>
      <c r="D11">
        <v>364.83339999999987</v>
      </c>
      <c r="E11">
        <v>33</v>
      </c>
    </row>
    <row r="12" spans="1:13" x14ac:dyDescent="0.2">
      <c r="A12" s="2">
        <v>43556</v>
      </c>
      <c r="B12" s="1" t="s">
        <v>2</v>
      </c>
      <c r="C12">
        <v>10647.446999999993</v>
      </c>
      <c r="D12">
        <v>-1100.4820999999997</v>
      </c>
      <c r="E12">
        <v>66</v>
      </c>
    </row>
    <row r="13" spans="1:13" x14ac:dyDescent="0.2">
      <c r="A13" s="2">
        <v>43556</v>
      </c>
      <c r="B13" s="1" t="s">
        <v>1</v>
      </c>
      <c r="C13">
        <v>14890.501999999997</v>
      </c>
      <c r="D13">
        <v>3713.4636000000005</v>
      </c>
      <c r="E13">
        <v>21</v>
      </c>
    </row>
    <row r="14" spans="1:13" x14ac:dyDescent="0.2">
      <c r="A14" s="2">
        <v>43586</v>
      </c>
      <c r="B14" s="1" t="s">
        <v>0</v>
      </c>
      <c r="C14">
        <v>15119.835000000001</v>
      </c>
      <c r="D14">
        <v>1824.4739000000004</v>
      </c>
      <c r="E14">
        <v>38</v>
      </c>
    </row>
    <row r="15" spans="1:13" x14ac:dyDescent="0.2">
      <c r="A15" s="2">
        <v>43586</v>
      </c>
      <c r="B15" s="1" t="s">
        <v>2</v>
      </c>
      <c r="C15">
        <v>13035.201999999997</v>
      </c>
      <c r="D15">
        <v>2397.5024000000003</v>
      </c>
      <c r="E15">
        <v>84</v>
      </c>
    </row>
    <row r="16" spans="1:13" x14ac:dyDescent="0.2">
      <c r="A16" s="2">
        <v>43586</v>
      </c>
      <c r="B16" s="1" t="s">
        <v>1</v>
      </c>
      <c r="C16">
        <v>22832.691000000003</v>
      </c>
      <c r="D16">
        <v>4440.1701000000012</v>
      </c>
      <c r="E16">
        <v>32</v>
      </c>
    </row>
    <row r="17" spans="1:5" x14ac:dyDescent="0.2">
      <c r="A17" s="2">
        <v>43617</v>
      </c>
      <c r="B17" s="1" t="s">
        <v>0</v>
      </c>
      <c r="C17">
        <v>13070.571999999998</v>
      </c>
      <c r="D17">
        <v>-106.26650000000018</v>
      </c>
      <c r="E17">
        <v>30</v>
      </c>
    </row>
    <row r="18" spans="1:5" x14ac:dyDescent="0.2">
      <c r="A18" s="2">
        <v>43617</v>
      </c>
      <c r="B18" s="1" t="s">
        <v>2</v>
      </c>
      <c r="C18">
        <v>10901.809999999996</v>
      </c>
      <c r="D18">
        <v>2467.4893999999986</v>
      </c>
      <c r="E18">
        <v>67</v>
      </c>
    </row>
    <row r="19" spans="1:5" x14ac:dyDescent="0.2">
      <c r="A19" s="2">
        <v>43617</v>
      </c>
      <c r="B19" s="1" t="s">
        <v>1</v>
      </c>
      <c r="C19">
        <v>16372.152</v>
      </c>
      <c r="D19">
        <v>2389.1552000000001</v>
      </c>
      <c r="E19">
        <v>30</v>
      </c>
    </row>
    <row r="20" spans="1:5" x14ac:dyDescent="0.2">
      <c r="A20" s="2">
        <v>43647</v>
      </c>
      <c r="B20" s="1" t="s">
        <v>0</v>
      </c>
      <c r="C20">
        <v>13068.519</v>
      </c>
      <c r="D20">
        <v>1038.9072999999999</v>
      </c>
      <c r="E20">
        <v>29</v>
      </c>
    </row>
    <row r="21" spans="1:5" x14ac:dyDescent="0.2">
      <c r="A21" s="2">
        <v>43647</v>
      </c>
      <c r="B21" s="1" t="s">
        <v>2</v>
      </c>
      <c r="C21">
        <v>12924.443999999998</v>
      </c>
      <c r="D21">
        <v>1123.9602</v>
      </c>
      <c r="E21">
        <v>75</v>
      </c>
    </row>
    <row r="22" spans="1:5" x14ac:dyDescent="0.2">
      <c r="A22" s="2">
        <v>43647</v>
      </c>
      <c r="B22" s="1" t="s">
        <v>1</v>
      </c>
      <c r="C22">
        <v>13269.000000000002</v>
      </c>
      <c r="D22">
        <v>2270.0103999999997</v>
      </c>
      <c r="E22">
        <v>28</v>
      </c>
    </row>
    <row r="23" spans="1:5" x14ac:dyDescent="0.2">
      <c r="A23" s="2">
        <v>43678</v>
      </c>
      <c r="B23" s="1" t="s">
        <v>0</v>
      </c>
      <c r="C23">
        <v>12483.232300000001</v>
      </c>
      <c r="D23">
        <v>-494.14569999999992</v>
      </c>
      <c r="E23">
        <v>27</v>
      </c>
    </row>
    <row r="24" spans="1:5" x14ac:dyDescent="0.2">
      <c r="A24" s="2">
        <v>43678</v>
      </c>
      <c r="B24" s="1" t="s">
        <v>2</v>
      </c>
      <c r="C24">
        <v>8959.7400000000016</v>
      </c>
      <c r="D24">
        <v>1629.1912999999995</v>
      </c>
      <c r="E24">
        <v>67</v>
      </c>
    </row>
    <row r="25" spans="1:5" x14ac:dyDescent="0.2">
      <c r="A25" s="2">
        <v>43678</v>
      </c>
      <c r="B25" s="1" t="s">
        <v>1</v>
      </c>
      <c r="C25">
        <v>9672.4019999999964</v>
      </c>
      <c r="D25">
        <v>927.02370000000019</v>
      </c>
      <c r="E25">
        <v>31</v>
      </c>
    </row>
    <row r="26" spans="1:5" x14ac:dyDescent="0.2">
      <c r="A26" s="2">
        <v>43709</v>
      </c>
      <c r="B26" s="1" t="s">
        <v>0</v>
      </c>
      <c r="C26">
        <v>27262.8809</v>
      </c>
      <c r="D26">
        <v>702.60250000000008</v>
      </c>
      <c r="E26">
        <v>69</v>
      </c>
    </row>
    <row r="27" spans="1:5" x14ac:dyDescent="0.2">
      <c r="A27" s="2">
        <v>43709</v>
      </c>
      <c r="B27" s="1" t="s">
        <v>2</v>
      </c>
      <c r="C27">
        <v>23263.738000000012</v>
      </c>
      <c r="D27">
        <v>3714.0416999999984</v>
      </c>
      <c r="E27">
        <v>146</v>
      </c>
    </row>
    <row r="28" spans="1:5" x14ac:dyDescent="0.2">
      <c r="A28" s="2">
        <v>43709</v>
      </c>
      <c r="B28" s="1" t="s">
        <v>1</v>
      </c>
      <c r="C28">
        <v>22883.405999999999</v>
      </c>
      <c r="D28">
        <v>4912.0134000000007</v>
      </c>
      <c r="E28">
        <v>47</v>
      </c>
    </row>
    <row r="29" spans="1:5" x14ac:dyDescent="0.2">
      <c r="A29" s="2">
        <v>43739</v>
      </c>
      <c r="B29" s="1" t="s">
        <v>0</v>
      </c>
      <c r="C29">
        <v>11872.576999999999</v>
      </c>
      <c r="D29">
        <v>-144.65999999999988</v>
      </c>
      <c r="E29">
        <v>43</v>
      </c>
    </row>
    <row r="30" spans="1:5" x14ac:dyDescent="0.2">
      <c r="A30" s="2">
        <v>43739</v>
      </c>
      <c r="B30" s="1" t="s">
        <v>2</v>
      </c>
      <c r="C30">
        <v>16281.793999999996</v>
      </c>
      <c r="D30">
        <v>4680.0549999999967</v>
      </c>
      <c r="E30">
        <v>69</v>
      </c>
    </row>
    <row r="31" spans="1:5" x14ac:dyDescent="0.2">
      <c r="A31" s="2">
        <v>43739</v>
      </c>
      <c r="B31" s="1" t="s">
        <v>1</v>
      </c>
      <c r="C31">
        <v>14533.374</v>
      </c>
      <c r="D31">
        <v>11707.747500000001</v>
      </c>
      <c r="E31">
        <v>26</v>
      </c>
    </row>
    <row r="32" spans="1:5" x14ac:dyDescent="0.2">
      <c r="A32" s="2">
        <v>43770</v>
      </c>
      <c r="B32" s="1" t="s">
        <v>0</v>
      </c>
      <c r="C32">
        <v>31783.628799999995</v>
      </c>
      <c r="D32">
        <v>819.80880000000013</v>
      </c>
      <c r="E32">
        <v>65</v>
      </c>
    </row>
    <row r="33" spans="1:5" x14ac:dyDescent="0.2">
      <c r="A33" s="2">
        <v>43770</v>
      </c>
      <c r="B33" s="1" t="s">
        <v>2</v>
      </c>
      <c r="C33">
        <v>20487.277999999991</v>
      </c>
      <c r="D33">
        <v>4686.9250000000002</v>
      </c>
      <c r="E33">
        <v>124</v>
      </c>
    </row>
    <row r="34" spans="1:5" x14ac:dyDescent="0.2">
      <c r="A34" s="2">
        <v>43770</v>
      </c>
      <c r="B34" s="1" t="s">
        <v>1</v>
      </c>
      <c r="C34">
        <v>27141.05899999999</v>
      </c>
      <c r="D34">
        <v>-1495.3263000000002</v>
      </c>
      <c r="E34">
        <v>68</v>
      </c>
    </row>
    <row r="35" spans="1:5" x14ac:dyDescent="0.2">
      <c r="A35" s="2">
        <v>43800</v>
      </c>
      <c r="B35" s="1" t="s">
        <v>0</v>
      </c>
      <c r="C35">
        <v>32978.714999999989</v>
      </c>
      <c r="D35">
        <v>2828.6715000000008</v>
      </c>
      <c r="E35">
        <v>69</v>
      </c>
    </row>
    <row r="36" spans="1:5" x14ac:dyDescent="0.2">
      <c r="A36" s="2">
        <v>43800</v>
      </c>
      <c r="B36" s="1" t="s">
        <v>2</v>
      </c>
      <c r="C36">
        <v>27997.565999999999</v>
      </c>
      <c r="D36">
        <v>11466.668599999995</v>
      </c>
      <c r="E36">
        <v>128</v>
      </c>
    </row>
    <row r="37" spans="1:5" x14ac:dyDescent="0.2">
      <c r="A37" s="2">
        <v>43800</v>
      </c>
      <c r="B37" s="1" t="s">
        <v>1</v>
      </c>
      <c r="C37">
        <v>17422.761999999992</v>
      </c>
      <c r="D37">
        <v>3589.9692</v>
      </c>
      <c r="E37">
        <v>46</v>
      </c>
    </row>
    <row r="38" spans="1:5" x14ac:dyDescent="0.2">
      <c r="A38" s="2">
        <v>43831</v>
      </c>
      <c r="B38" s="1" t="s">
        <v>0</v>
      </c>
      <c r="C38">
        <v>7245.0319999999983</v>
      </c>
      <c r="D38">
        <v>-39.440199999999976</v>
      </c>
      <c r="E38">
        <v>21</v>
      </c>
    </row>
    <row r="39" spans="1:5" x14ac:dyDescent="0.2">
      <c r="A39" s="2">
        <v>43831</v>
      </c>
      <c r="B39" s="1" t="s">
        <v>2</v>
      </c>
      <c r="C39">
        <v>29531.288999999993</v>
      </c>
      <c r="D39">
        <v>3260.4466999999986</v>
      </c>
      <c r="E39">
        <v>54</v>
      </c>
    </row>
    <row r="40" spans="1:5" x14ac:dyDescent="0.2">
      <c r="A40" s="2">
        <v>43831</v>
      </c>
      <c r="B40" s="1" t="s">
        <v>1</v>
      </c>
      <c r="C40">
        <v>17987.053000000004</v>
      </c>
      <c r="D40">
        <v>3919.4326000000001</v>
      </c>
      <c r="E40">
        <v>25</v>
      </c>
    </row>
    <row r="41" spans="1:5" x14ac:dyDescent="0.2">
      <c r="A41" s="2">
        <v>43862</v>
      </c>
      <c r="B41" s="1" t="s">
        <v>0</v>
      </c>
      <c r="C41">
        <v>9210.3374000000003</v>
      </c>
      <c r="D41">
        <v>-199.0421</v>
      </c>
      <c r="E41">
        <v>21</v>
      </c>
    </row>
    <row r="42" spans="1:5" x14ac:dyDescent="0.2">
      <c r="A42" s="2">
        <v>43862</v>
      </c>
      <c r="B42" s="1" t="s">
        <v>2</v>
      </c>
      <c r="C42">
        <v>29500.771999999986</v>
      </c>
      <c r="D42">
        <v>953.82529999999997</v>
      </c>
      <c r="E42">
        <v>42</v>
      </c>
    </row>
    <row r="43" spans="1:5" x14ac:dyDescent="0.2">
      <c r="A43" s="2">
        <v>43862</v>
      </c>
      <c r="B43" s="1" t="s">
        <v>1</v>
      </c>
      <c r="C43">
        <v>13357.024000000001</v>
      </c>
      <c r="D43">
        <v>859.08879999999988</v>
      </c>
      <c r="E43">
        <v>20</v>
      </c>
    </row>
    <row r="44" spans="1:5" x14ac:dyDescent="0.2">
      <c r="A44" s="2">
        <v>43891</v>
      </c>
      <c r="B44" s="1" t="s">
        <v>0</v>
      </c>
      <c r="C44">
        <v>12990.444800000001</v>
      </c>
      <c r="D44">
        <v>1000.8531999999999</v>
      </c>
      <c r="E44">
        <v>31</v>
      </c>
    </row>
    <row r="45" spans="1:5" x14ac:dyDescent="0.2">
      <c r="A45" s="2">
        <v>43891</v>
      </c>
      <c r="B45" s="1" t="s">
        <v>2</v>
      </c>
      <c r="C45">
        <v>25991.286</v>
      </c>
      <c r="D45">
        <v>2715.9623999999994</v>
      </c>
      <c r="E45">
        <v>87</v>
      </c>
    </row>
    <row r="46" spans="1:5" x14ac:dyDescent="0.2">
      <c r="A46" s="2">
        <v>43891</v>
      </c>
      <c r="B46" s="1" t="s">
        <v>1</v>
      </c>
      <c r="C46">
        <v>25247.622000000003</v>
      </c>
      <c r="D46">
        <v>11035.075900000002</v>
      </c>
      <c r="E46">
        <v>44</v>
      </c>
    </row>
    <row r="47" spans="1:5" x14ac:dyDescent="0.2">
      <c r="A47" s="2">
        <v>43922</v>
      </c>
      <c r="B47" s="1" t="s">
        <v>0</v>
      </c>
      <c r="C47">
        <v>11417.9581</v>
      </c>
      <c r="D47">
        <v>202.46240000000003</v>
      </c>
      <c r="E47">
        <v>37</v>
      </c>
    </row>
    <row r="48" spans="1:5" x14ac:dyDescent="0.2">
      <c r="A48" s="2">
        <v>43922</v>
      </c>
      <c r="B48" s="1" t="s">
        <v>2</v>
      </c>
      <c r="C48">
        <v>25746.190999999992</v>
      </c>
      <c r="D48">
        <v>3370.6014999999984</v>
      </c>
      <c r="E48">
        <v>89</v>
      </c>
    </row>
    <row r="49" spans="1:5" x14ac:dyDescent="0.2">
      <c r="A49" s="2">
        <v>43922</v>
      </c>
      <c r="B49" s="1" t="s">
        <v>1</v>
      </c>
      <c r="C49">
        <v>13643.387000000001</v>
      </c>
      <c r="D49">
        <v>-2639.7739000000001</v>
      </c>
      <c r="E49">
        <v>25</v>
      </c>
    </row>
    <row r="50" spans="1:5" x14ac:dyDescent="0.2">
      <c r="A50" s="2">
        <v>43952</v>
      </c>
      <c r="B50" s="1" t="s">
        <v>0</v>
      </c>
      <c r="C50">
        <v>22802.558199999992</v>
      </c>
      <c r="D50">
        <v>-72.882899999999694</v>
      </c>
      <c r="E50">
        <v>44</v>
      </c>
    </row>
    <row r="51" spans="1:5" x14ac:dyDescent="0.2">
      <c r="A51" s="2">
        <v>43952</v>
      </c>
      <c r="B51" s="1" t="s">
        <v>2</v>
      </c>
      <c r="C51">
        <v>27304.963999999989</v>
      </c>
      <c r="D51">
        <v>3153.7259999999992</v>
      </c>
      <c r="E51">
        <v>91</v>
      </c>
    </row>
    <row r="52" spans="1:5" x14ac:dyDescent="0.2">
      <c r="A52" s="2">
        <v>43952</v>
      </c>
      <c r="B52" s="1" t="s">
        <v>1</v>
      </c>
      <c r="C52">
        <v>16642.588</v>
      </c>
      <c r="D52">
        <v>3261.7396999999992</v>
      </c>
      <c r="E52">
        <v>38</v>
      </c>
    </row>
    <row r="53" spans="1:5" x14ac:dyDescent="0.2">
      <c r="A53" s="2">
        <v>43983</v>
      </c>
      <c r="B53" s="1" t="s">
        <v>0</v>
      </c>
      <c r="C53">
        <v>21387.586699999993</v>
      </c>
      <c r="D53">
        <v>904.99560000000042</v>
      </c>
      <c r="E53">
        <v>43</v>
      </c>
    </row>
    <row r="54" spans="1:5" x14ac:dyDescent="0.2">
      <c r="A54" s="2">
        <v>43983</v>
      </c>
      <c r="B54" s="1" t="s">
        <v>2</v>
      </c>
      <c r="C54">
        <v>28746.038999999997</v>
      </c>
      <c r="D54">
        <v>3378.9821000000002</v>
      </c>
      <c r="E54">
        <v>103</v>
      </c>
    </row>
    <row r="55" spans="1:5" x14ac:dyDescent="0.2">
      <c r="A55" s="2">
        <v>43983</v>
      </c>
      <c r="B55" s="1" t="s">
        <v>1</v>
      </c>
      <c r="C55">
        <v>19109.099999999999</v>
      </c>
      <c r="D55">
        <v>3939.3579999999997</v>
      </c>
      <c r="E55">
        <v>38</v>
      </c>
    </row>
    <row r="56" spans="1:5" x14ac:dyDescent="0.2">
      <c r="A56" s="2">
        <v>44013</v>
      </c>
      <c r="B56" s="1" t="s">
        <v>0</v>
      </c>
      <c r="C56">
        <v>14245.021999999997</v>
      </c>
      <c r="D56">
        <v>324.62439999999987</v>
      </c>
      <c r="E56">
        <v>45</v>
      </c>
    </row>
    <row r="57" spans="1:5" x14ac:dyDescent="0.2">
      <c r="A57" s="2">
        <v>44013</v>
      </c>
      <c r="B57" s="1" t="s">
        <v>2</v>
      </c>
      <c r="C57">
        <v>20224.467999999997</v>
      </c>
      <c r="D57">
        <v>2563.2844999999998</v>
      </c>
      <c r="E57">
        <v>75</v>
      </c>
    </row>
    <row r="58" spans="1:5" x14ac:dyDescent="0.2">
      <c r="A58" s="2">
        <v>44013</v>
      </c>
      <c r="B58" s="1" t="s">
        <v>1</v>
      </c>
      <c r="C58">
        <v>25607.925999999999</v>
      </c>
      <c r="D58">
        <v>4064.7123000000001</v>
      </c>
      <c r="E58">
        <v>43</v>
      </c>
    </row>
    <row r="59" spans="1:5" x14ac:dyDescent="0.2">
      <c r="A59" s="2">
        <v>44044</v>
      </c>
      <c r="B59" s="1" t="s">
        <v>0</v>
      </c>
      <c r="C59">
        <v>17523.873999999996</v>
      </c>
      <c r="D59">
        <v>322.23900000000009</v>
      </c>
      <c r="E59">
        <v>30</v>
      </c>
    </row>
    <row r="60" spans="1:5" x14ac:dyDescent="0.2">
      <c r="A60" s="2">
        <v>44044</v>
      </c>
      <c r="B60" s="1" t="s">
        <v>2</v>
      </c>
      <c r="C60">
        <v>40390.852000000006</v>
      </c>
      <c r="D60">
        <v>6067.8582000000006</v>
      </c>
      <c r="E60">
        <v>89</v>
      </c>
    </row>
    <row r="61" spans="1:5" x14ac:dyDescent="0.2">
      <c r="A61" s="2">
        <v>44044</v>
      </c>
      <c r="B61" s="1" t="s">
        <v>1</v>
      </c>
      <c r="C61">
        <v>19424.161999999997</v>
      </c>
      <c r="D61">
        <v>2650.8584999999994</v>
      </c>
      <c r="E61">
        <v>32</v>
      </c>
    </row>
    <row r="62" spans="1:5" x14ac:dyDescent="0.2">
      <c r="A62" s="2">
        <v>44075</v>
      </c>
      <c r="B62" s="1" t="s">
        <v>0</v>
      </c>
      <c r="C62">
        <v>33405.205999999998</v>
      </c>
      <c r="D62">
        <v>1548.6836999999998</v>
      </c>
      <c r="E62">
        <v>67</v>
      </c>
    </row>
    <row r="63" spans="1:5" x14ac:dyDescent="0.2">
      <c r="A63" s="2">
        <v>44075</v>
      </c>
      <c r="B63" s="1" t="s">
        <v>2</v>
      </c>
      <c r="C63">
        <v>54981.843000000023</v>
      </c>
      <c r="D63">
        <v>4847.7437999999966</v>
      </c>
      <c r="E63">
        <v>179</v>
      </c>
    </row>
    <row r="64" spans="1:5" x14ac:dyDescent="0.2">
      <c r="A64" s="2">
        <v>44075</v>
      </c>
      <c r="B64" s="1" t="s">
        <v>1</v>
      </c>
      <c r="C64">
        <v>31416.602999999992</v>
      </c>
      <c r="D64">
        <v>4595.1280999999999</v>
      </c>
      <c r="E64">
        <v>72</v>
      </c>
    </row>
    <row r="65" spans="1:5" x14ac:dyDescent="0.2">
      <c r="A65" s="2">
        <v>44105</v>
      </c>
      <c r="B65" s="1" t="s">
        <v>0</v>
      </c>
      <c r="C65">
        <v>25802.068200000002</v>
      </c>
      <c r="D65">
        <v>-2526.9203000000002</v>
      </c>
      <c r="E65">
        <v>56</v>
      </c>
    </row>
    <row r="66" spans="1:5" x14ac:dyDescent="0.2">
      <c r="A66" s="2">
        <v>44105</v>
      </c>
      <c r="B66" s="1" t="s">
        <v>2</v>
      </c>
      <c r="C66">
        <v>37346.191999999995</v>
      </c>
      <c r="D66">
        <v>4040.7751000000007</v>
      </c>
      <c r="E66">
        <v>112</v>
      </c>
    </row>
    <row r="67" spans="1:5" x14ac:dyDescent="0.2">
      <c r="A67" s="2">
        <v>44105</v>
      </c>
      <c r="B67" s="1" t="s">
        <v>1</v>
      </c>
      <c r="C67">
        <v>25748.663000000011</v>
      </c>
      <c r="D67">
        <v>7761.4207000000006</v>
      </c>
      <c r="E67">
        <v>47</v>
      </c>
    </row>
    <row r="68" spans="1:5" x14ac:dyDescent="0.2">
      <c r="A68" s="2">
        <v>44136</v>
      </c>
      <c r="B68" s="1" t="s">
        <v>0</v>
      </c>
      <c r="C68">
        <v>39354.714999999989</v>
      </c>
      <c r="D68">
        <v>406.06369999999993</v>
      </c>
      <c r="E68">
        <v>85</v>
      </c>
    </row>
    <row r="69" spans="1:5" x14ac:dyDescent="0.2">
      <c r="A69" s="2">
        <v>44136</v>
      </c>
      <c r="B69" s="1" t="s">
        <v>2</v>
      </c>
      <c r="C69">
        <v>50028.336999999985</v>
      </c>
      <c r="D69">
        <v>3609.1028999999985</v>
      </c>
      <c r="E69">
        <v>180</v>
      </c>
    </row>
    <row r="70" spans="1:5" x14ac:dyDescent="0.2">
      <c r="A70" s="2">
        <v>44136</v>
      </c>
      <c r="B70" s="1" t="s">
        <v>1</v>
      </c>
      <c r="C70">
        <v>41577.772999999994</v>
      </c>
      <c r="D70">
        <v>5674.9371000000001</v>
      </c>
      <c r="E70">
        <v>79</v>
      </c>
    </row>
    <row r="71" spans="1:5" x14ac:dyDescent="0.2">
      <c r="A71" s="2">
        <v>44166</v>
      </c>
      <c r="B71" s="1" t="s">
        <v>0</v>
      </c>
      <c r="C71">
        <v>40848.466799999987</v>
      </c>
      <c r="D71">
        <v>1146.7548000000002</v>
      </c>
      <c r="E71">
        <v>84</v>
      </c>
    </row>
    <row r="72" spans="1:5" x14ac:dyDescent="0.2">
      <c r="A72" s="2">
        <v>44166</v>
      </c>
      <c r="B72" s="1" t="s">
        <v>2</v>
      </c>
      <c r="C72">
        <v>98975.472000000023</v>
      </c>
      <c r="D72">
        <v>1773.7083999999998</v>
      </c>
      <c r="E72">
        <v>172</v>
      </c>
    </row>
    <row r="73" spans="1:5" x14ac:dyDescent="0.2">
      <c r="A73" s="2">
        <v>44166</v>
      </c>
      <c r="B73" s="1" t="s">
        <v>1</v>
      </c>
      <c r="C73">
        <v>26361.910000000003</v>
      </c>
      <c r="D73">
        <v>5562.2788</v>
      </c>
      <c r="E73">
        <v>63</v>
      </c>
    </row>
  </sheetData>
  <phoneticPr fontId="4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3D00-BE08-F14A-B40C-C7A824263D35}">
  <dimension ref="B2:C5"/>
  <sheetViews>
    <sheetView workbookViewId="0">
      <selection activeCell="B2" sqref="B2:C5"/>
    </sheetView>
  </sheetViews>
  <sheetFormatPr baseColWidth="10" defaultRowHeight="16" x14ac:dyDescent="0.2"/>
  <cols>
    <col min="2" max="2" width="23.5" bestFit="1" customWidth="1"/>
  </cols>
  <sheetData>
    <row r="2" spans="2:3" x14ac:dyDescent="0.2">
      <c r="B2" s="10" t="s">
        <v>9</v>
      </c>
      <c r="C2" s="12">
        <f>AVERAGE(monthly_sales_by_category!I4:I10)</f>
        <v>0.25187775510112009</v>
      </c>
    </row>
    <row r="3" spans="2:3" x14ac:dyDescent="0.2">
      <c r="B3" s="11" t="s">
        <v>10</v>
      </c>
      <c r="C3" s="13">
        <v>0</v>
      </c>
    </row>
    <row r="4" spans="2:3" x14ac:dyDescent="0.2">
      <c r="B4" s="11" t="s">
        <v>11</v>
      </c>
      <c r="C4" s="13">
        <v>-0.05</v>
      </c>
    </row>
    <row r="5" spans="2:3" x14ac:dyDescent="0.2">
      <c r="B5" s="11" t="s">
        <v>12</v>
      </c>
      <c r="C5" s="11">
        <f>monthly_sales_by_category!H10</f>
        <v>386043.59699999995</v>
      </c>
    </row>
  </sheetData>
  <scenarios current="2" show="2">
    <scenario name="Base Case" locked="1" count="2" user="Rohith" comment="Created by Rohith on 19/8/2026_x000a_Modified by Rohith on 19/8/2026">
      <inputCells r="C3" val="0" numFmtId="10"/>
      <inputCells r="C4" val="0" numFmtId="10"/>
    </scenario>
    <scenario name="Best Case " locked="1" count="2" user="Rohith" comment="Created by Rohith on 19/8/2026_x000a_Modified by Rohith on 19/8/2026">
      <inputCells r="C3" val="0.05" numFmtId="10"/>
      <inputCells r="C4" val="0" numFmtId="10"/>
    </scenario>
    <scenario name="Worst Case " locked="1" count="2" user="Rohith" comment="Created by Rohith on 19/8/2026_x000a_Modified by Rohith on 19/8/2026">
      <inputCells r="C3" val="0" numFmtId="10"/>
      <inputCells r="C4" val="-0.05" numFmtId="10"/>
    </scenario>
  </scenario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2683-8EFE-0144-9ED1-54E3E384418E}">
  <dimension ref="A1:B4"/>
  <sheetViews>
    <sheetView workbookViewId="0">
      <selection activeCell="C15" sqref="C15"/>
    </sheetView>
  </sheetViews>
  <sheetFormatPr baseColWidth="10" defaultRowHeight="16" x14ac:dyDescent="0.2"/>
  <cols>
    <col min="2" max="2" width="23.6640625" bestFit="1" customWidth="1"/>
  </cols>
  <sheetData>
    <row r="1" spans="1:2" x14ac:dyDescent="0.2">
      <c r="A1" s="7" t="s">
        <v>24</v>
      </c>
      <c r="B1" s="7" t="s">
        <v>28</v>
      </c>
    </row>
    <row r="2" spans="1:2" x14ac:dyDescent="0.2">
      <c r="A2" s="11" t="s">
        <v>25</v>
      </c>
      <c r="B2" s="11">
        <f>Assumptions!C5*(1+Assumptions!C2)</f>
        <v>483279.3915835215</v>
      </c>
    </row>
    <row r="3" spans="1:2" x14ac:dyDescent="0.2">
      <c r="A3" s="11" t="s">
        <v>26</v>
      </c>
      <c r="B3" s="11">
        <f>Assumptions!C5*(1+Assumptions!C2+Assumptions!C3)</f>
        <v>483279.3915835215</v>
      </c>
    </row>
    <row r="4" spans="1:2" x14ac:dyDescent="0.2">
      <c r="A4" s="11" t="s">
        <v>27</v>
      </c>
      <c r="B4" s="11">
        <f>Assumptions!C5*(1+Assumptions!C2+Assumptions!C4)</f>
        <v>463977.21173352149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091701-4194-984C-820C-6A09B4C3AA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monthly_sales_by_category</vt:lpstr>
      <vt:lpstr>Assumptions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Sribhashyam (24931736)</dc:creator>
  <cp:lastModifiedBy>Rohith Sribhashyam (24931736)</cp:lastModifiedBy>
  <dcterms:created xsi:type="dcterms:W3CDTF">2026-08-17T12:07:41Z</dcterms:created>
  <dcterms:modified xsi:type="dcterms:W3CDTF">2026-08-20T05:34:23Z</dcterms:modified>
</cp:coreProperties>
</file>